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180e520f9dd212/Desktop/Projetos/Excel/analise-vendas-cliente-excel/"/>
    </mc:Choice>
  </mc:AlternateContent>
  <xr:revisionPtr revIDLastSave="2" documentId="8_{F7E60ECC-3705-41F6-87DD-897319C0E29F}" xr6:coauthVersionLast="47" xr6:coauthVersionMax="47" xr10:uidLastSave="{03F3518E-A1D4-4F73-83BA-BC113B51A344}"/>
  <bookViews>
    <workbookView xWindow="-108" yWindow="-108" windowWidth="23256" windowHeight="12456" activeTab="2" xr2:uid="{C81AD206-2CFB-4679-9C2E-098F864C3D63}"/>
  </bookViews>
  <sheets>
    <sheet name="Planilha8" sheetId="8" r:id="rId1"/>
    <sheet name="Base de Vendas" sheetId="2" r:id="rId2"/>
    <sheet name="Resumo" sheetId="1" r:id="rId3"/>
  </sheets>
  <definedNames>
    <definedName name="_xlcn.WorksheetConnection_BasedeVendasDD1" hidden="1">'Base de Vendas'!$D:$D</definedName>
    <definedName name="_xlcn.WorksheetConnection_Pasta1.xlsxTabela11" hidden="1">Tabela1[]</definedName>
    <definedName name="SegmentaçãodeDados_Categoria">#N/A</definedName>
    <definedName name="SegmentaçãodeDados_Vendedor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Base de Vendas!$D:$D"/>
          <x15:modelTable id="Tabela1" name="Tabela1" connection="WorksheetConnection_Pasta1.xlsx!Tabela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1" i="2" l="1"/>
  <c r="J13" i="2"/>
  <c r="G5" i="2"/>
  <c r="H5" i="2" s="1"/>
  <c r="G2" i="1"/>
  <c r="I2" i="1"/>
  <c r="G2" i="2"/>
  <c r="G3" i="2"/>
  <c r="H3" i="2" s="1"/>
  <c r="G4" i="2"/>
  <c r="H4" i="2" s="1"/>
  <c r="G6" i="2"/>
  <c r="H6" i="2" s="1"/>
  <c r="G7" i="2"/>
  <c r="H7" i="2" s="1"/>
  <c r="G8" i="2"/>
  <c r="H8" i="2" s="1"/>
  <c r="G9" i="2"/>
  <c r="H9" i="2" s="1"/>
  <c r="G10" i="2"/>
  <c r="H10" i="2" s="1"/>
  <c r="G11" i="2"/>
  <c r="H11" i="2" s="1"/>
  <c r="G12" i="2"/>
  <c r="H12" i="2" s="1"/>
  <c r="G13" i="2"/>
  <c r="H13" i="2" s="1"/>
  <c r="G14" i="2"/>
  <c r="H14" i="2" s="1"/>
  <c r="G15" i="2"/>
  <c r="H15" i="2" s="1"/>
  <c r="G16" i="2"/>
  <c r="H16" i="2" s="1"/>
  <c r="J9" i="2" l="1"/>
  <c r="H2" i="2"/>
  <c r="A2" i="1"/>
  <c r="C2" i="1"/>
  <c r="E2" i="1"/>
  <c r="J5" i="2"/>
  <c r="J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9685BB-B082-490D-A611-7EE3C0CD37BF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44E8170-58E8-404E-A6C7-9FC09692DD6B}" name="WorksheetConnection_Base de Vendas!$D:$D" type="102" refreshedVersion="8" minRefreshableVersion="5">
    <extLst>
      <ext xmlns:x15="http://schemas.microsoft.com/office/spreadsheetml/2010/11/main" uri="{DE250136-89BD-433C-8126-D09CA5730AF9}">
        <x15:connection id="Intervalo" autoDelete="1">
          <x15:rangePr sourceName="_xlcn.WorksheetConnection_BasedeVendasDD1"/>
        </x15:connection>
      </ext>
    </extLst>
  </connection>
  <connection id="3" xr16:uid="{A0AF4EA6-EC85-4EA7-B437-E32EA76AB0FC}" name="WorksheetConnection_Pasta1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Pasta1.xlsxTabela11"/>
        </x15:connection>
      </ext>
    </extLst>
  </connection>
</connections>
</file>

<file path=xl/sharedStrings.xml><?xml version="1.0" encoding="utf-8"?>
<sst xmlns="http://schemas.openxmlformats.org/spreadsheetml/2006/main" count="83" uniqueCount="38">
  <si>
    <t>Data</t>
  </si>
  <si>
    <t>Vendedor</t>
  </si>
  <si>
    <t>Produto</t>
  </si>
  <si>
    <t>Categoria</t>
  </si>
  <si>
    <t>Quantidade</t>
  </si>
  <si>
    <t>Valor Unitário</t>
  </si>
  <si>
    <t>Carlos</t>
  </si>
  <si>
    <t>Mouse Gamer</t>
  </si>
  <si>
    <t>Periféricos</t>
  </si>
  <si>
    <t>Ana</t>
  </si>
  <si>
    <t>Monitor 24</t>
  </si>
  <si>
    <t>Monitores</t>
  </si>
  <si>
    <t>Bruno</t>
  </si>
  <si>
    <t>Teclado Mecânico</t>
  </si>
  <si>
    <t>Webcam HD</t>
  </si>
  <si>
    <t>Vídeo</t>
  </si>
  <si>
    <t>Headset RGB</t>
  </si>
  <si>
    <t>Áudio</t>
  </si>
  <si>
    <t>Total Vendas</t>
  </si>
  <si>
    <t>Análise</t>
  </si>
  <si>
    <t>Total Vendido</t>
  </si>
  <si>
    <t>Maior Venda</t>
  </si>
  <si>
    <t>Média de Venda</t>
  </si>
  <si>
    <t xml:space="preserve">Total de Itens </t>
  </si>
  <si>
    <t>Rótulos de Linha</t>
  </si>
  <si>
    <t>Total Geral</t>
  </si>
  <si>
    <t>total vendido</t>
  </si>
  <si>
    <t>Maior venda</t>
  </si>
  <si>
    <t>Média de venda</t>
  </si>
  <si>
    <t>Quantidade de vendas</t>
  </si>
  <si>
    <t>Total de itens</t>
  </si>
  <si>
    <t>Soma de Total Vendas</t>
  </si>
  <si>
    <t>Venda Alta</t>
  </si>
  <si>
    <t>Venda Baixa</t>
  </si>
  <si>
    <t>Venda Média</t>
  </si>
  <si>
    <t xml:space="preserve">contagem </t>
  </si>
  <si>
    <t>Contagem de Análise</t>
  </si>
  <si>
    <t>Qtd.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</si>
</sst>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2"/>
      <name val="Arial Black"/>
      <family val="2"/>
    </font>
    <font>
      <b/>
      <sz val="10"/>
      <color theme="2"/>
      <name val="Arial Black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2"/>
      </left>
      <right/>
      <top style="medium">
        <color theme="2"/>
      </top>
      <bottom/>
      <diagonal/>
    </border>
    <border>
      <left/>
      <right style="medium">
        <color theme="2"/>
      </right>
      <top style="medium">
        <color theme="2"/>
      </top>
      <bottom/>
      <diagonal/>
    </border>
    <border>
      <left style="medium">
        <color theme="2"/>
      </left>
      <right/>
      <top/>
      <bottom/>
      <diagonal/>
    </border>
    <border>
      <left/>
      <right style="medium">
        <color theme="2"/>
      </right>
      <top/>
      <bottom/>
      <diagonal/>
    </border>
    <border>
      <left style="medium">
        <color theme="2"/>
      </left>
      <right/>
      <top/>
      <bottom style="medium">
        <color theme="2"/>
      </bottom>
      <diagonal/>
    </border>
    <border>
      <left/>
      <right style="medium">
        <color theme="2"/>
      </right>
      <top/>
      <bottom style="medium">
        <color theme="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 wrapText="1"/>
    </xf>
    <xf numFmtId="14" fontId="0" fillId="0" borderId="1" xfId="0" applyNumberForma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44" fontId="0" fillId="0" borderId="1" xfId="1" applyFont="1" applyBorder="1" applyAlignment="1">
      <alignment horizontal="center" wrapText="1"/>
    </xf>
    <xf numFmtId="44" fontId="0" fillId="0" borderId="2" xfId="1" applyFont="1" applyBorder="1" applyAlignment="1">
      <alignment horizontal="center" wrapText="1"/>
    </xf>
    <xf numFmtId="44" fontId="0" fillId="0" borderId="3" xfId="1" applyFont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0" fontId="5" fillId="0" borderId="0" xfId="0" applyFont="1" applyAlignment="1">
      <alignment wrapText="1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44" fontId="3" fillId="2" borderId="6" xfId="1" applyFont="1" applyFill="1" applyBorder="1" applyAlignment="1">
      <alignment horizontal="center" vertical="center"/>
    </xf>
    <xf numFmtId="44" fontId="3" fillId="2" borderId="7" xfId="1" applyFont="1" applyFill="1" applyBorder="1" applyAlignment="1">
      <alignment horizontal="center" vertical="center"/>
    </xf>
    <xf numFmtId="44" fontId="3" fillId="2" borderId="8" xfId="1" applyFont="1" applyFill="1" applyBorder="1" applyAlignment="1">
      <alignment horizontal="center" vertical="center"/>
    </xf>
    <xf numFmtId="44" fontId="3" fillId="2" borderId="9" xfId="1" applyFont="1" applyFill="1" applyBorder="1" applyAlignment="1">
      <alignment horizontal="center" vertical="center"/>
    </xf>
    <xf numFmtId="44" fontId="4" fillId="2" borderId="4" xfId="1" applyFont="1" applyFill="1" applyBorder="1" applyAlignment="1">
      <alignment horizontal="center"/>
    </xf>
    <xf numFmtId="44" fontId="4" fillId="2" borderId="5" xfId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</cellXfs>
  <cellStyles count="2">
    <cellStyle name="Moeda" xfId="1" builtinId="4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numFmt numFmtId="0" formatCode="General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1" indent="0" justifyLastLine="0" shrinkToFit="0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powerPivotData" Target="model/item.data"/><Relationship Id="rId5" Type="http://schemas.microsoft.com/office/2007/relationships/slicerCache" Target="slicerCaches/slicerCache1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[analise-vendas-cliente.xlsx.xlsx]Planilha8!Tabela dinâmica11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Planilha8!$B$3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Planilha8!$A$4:$A$8</c:f>
              <c:strCache>
                <c:ptCount val="4"/>
                <c:pt idx="0">
                  <c:v>Áudio</c:v>
                </c:pt>
                <c:pt idx="1">
                  <c:v>Monitores</c:v>
                </c:pt>
                <c:pt idx="2">
                  <c:v>Periféricos</c:v>
                </c:pt>
                <c:pt idx="3">
                  <c:v>Vídeo</c:v>
                </c:pt>
              </c:strCache>
            </c:strRef>
          </c:cat>
          <c:val>
            <c:numRef>
              <c:f>Planilha8!$B$4:$B$8</c:f>
              <c:numCache>
                <c:formatCode>_("R$"* #,##0.00_);_("R$"* \(#,##0.00\);_("R$"* "-"??_);_(@_)</c:formatCode>
                <c:ptCount val="4"/>
                <c:pt idx="0">
                  <c:v>1920</c:v>
                </c:pt>
                <c:pt idx="1">
                  <c:v>3600</c:v>
                </c:pt>
                <c:pt idx="2">
                  <c:v>2820</c:v>
                </c:pt>
                <c:pt idx="3">
                  <c:v>1080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6C-47F5-B576-738A785865B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8404736"/>
        <c:axId val="488399456"/>
      </c:barChart>
      <c:catAx>
        <c:axId val="48840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8399456"/>
        <c:crosses val="autoZero"/>
        <c:auto val="1"/>
        <c:lblAlgn val="ctr"/>
        <c:lblOffset val="100"/>
        <c:noMultiLvlLbl val="0"/>
      </c:catAx>
      <c:valAx>
        <c:axId val="488399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88404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[analise-vendas-cliente.xlsx.xlsx]Planilha8!Tabela dinâmica12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Planilha8!$E$3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Planilha8!$D$4:$D$7</c:f>
              <c:strCache>
                <c:ptCount val="3"/>
                <c:pt idx="0">
                  <c:v>Ana</c:v>
                </c:pt>
                <c:pt idx="1">
                  <c:v>Bruno</c:v>
                </c:pt>
                <c:pt idx="2">
                  <c:v>Carlos</c:v>
                </c:pt>
              </c:strCache>
            </c:strRef>
          </c:cat>
          <c:val>
            <c:numRef>
              <c:f>Planilha8!$E$4:$E$7</c:f>
              <c:numCache>
                <c:formatCode>General</c:formatCode>
                <c:ptCount val="3"/>
                <c:pt idx="0">
                  <c:v>3550</c:v>
                </c:pt>
                <c:pt idx="1">
                  <c:v>2470</c:v>
                </c:pt>
                <c:pt idx="2">
                  <c:v>3400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A0-4EC0-AA24-DBD7CD2971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56563152"/>
        <c:axId val="556549232"/>
      </c:barChart>
      <c:catAx>
        <c:axId val="5565631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6549232"/>
        <c:crosses val="autoZero"/>
        <c:auto val="1"/>
        <c:lblAlgn val="ctr"/>
        <c:lblOffset val="100"/>
        <c:noMultiLvlLbl val="0"/>
      </c:catAx>
      <c:valAx>
        <c:axId val="556549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565631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[analise-vendas-cliente.xlsx.xlsx]Planilha8!Tabela dinâmica13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Classificação das Vendas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1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tx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Planilha8!$H$3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tx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5939-4D6E-B3D3-21F802BECF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5939-4D6E-B3D3-21F802BECF0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5939-4D6E-B3D3-21F802BECF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Planilha8!$G$4:$G$7</c:f>
              <c:strCache>
                <c:ptCount val="3"/>
                <c:pt idx="0">
                  <c:v>Venda Alta</c:v>
                </c:pt>
                <c:pt idx="1">
                  <c:v>Venda Baixa</c:v>
                </c:pt>
                <c:pt idx="2">
                  <c:v>Venda Média</c:v>
                </c:pt>
              </c:strCache>
            </c:strRef>
          </c:cat>
          <c:val>
            <c:numRef>
              <c:f>Planilha8!$H$4:$H$7</c:f>
              <c:numCache>
                <c:formatCode>General</c:formatCode>
                <c:ptCount val="3"/>
                <c:pt idx="0">
                  <c:v>1</c:v>
                </c:pt>
                <c:pt idx="1">
                  <c:v>7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39-4D6E-B3D3-21F802BECF03}"/>
            </c:ext>
          </c:extLst>
        </c:ser>
        <c:dLbls>
          <c:dLblPos val="outEnd"/>
          <c:showLegendKey val="0"/>
          <c:showVal val="0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7856</xdr:rowOff>
    </xdr:from>
    <xdr:to>
      <xdr:col>6</xdr:col>
      <xdr:colOff>549001</xdr:colOff>
      <xdr:row>17</xdr:row>
      <xdr:rowOff>167742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2E5B87-7959-4C79-987A-2191E6BA56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510394</xdr:colOff>
      <xdr:row>3</xdr:row>
      <xdr:rowOff>7856</xdr:rowOff>
    </xdr:from>
    <xdr:to>
      <xdr:col>12</xdr:col>
      <xdr:colOff>261257</xdr:colOff>
      <xdr:row>17</xdr:row>
      <xdr:rowOff>167741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656DAD8-0EA7-49CB-A5D8-5F0CCF91E84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18</xdr:row>
      <xdr:rowOff>10886</xdr:rowOff>
    </xdr:from>
    <xdr:to>
      <xdr:col>6</xdr:col>
      <xdr:colOff>565160</xdr:colOff>
      <xdr:row>32</xdr:row>
      <xdr:rowOff>109497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0146BAE-C492-41A1-8951-03E2FBD59D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312596</xdr:colOff>
      <xdr:row>3</xdr:row>
      <xdr:rowOff>8633</xdr:rowOff>
    </xdr:from>
    <xdr:to>
      <xdr:col>15</xdr:col>
      <xdr:colOff>318977</xdr:colOff>
      <xdr:row>11</xdr:row>
      <xdr:rowOff>52175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Vendedor">
              <a:extLst>
                <a:ext uri="{FF2B5EF4-FFF2-40B4-BE49-F238E27FC236}">
                  <a16:creationId xmlns:a16="http://schemas.microsoft.com/office/drawing/2014/main" id="{DCA4AD48-2A66-4523-A98D-D9B8B196D07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885096" y="589658"/>
              <a:ext cx="1835181" cy="150086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359863</xdr:colOff>
      <xdr:row>3</xdr:row>
      <xdr:rowOff>20935</xdr:rowOff>
    </xdr:from>
    <xdr:to>
      <xdr:col>17</xdr:col>
      <xdr:colOff>383627</xdr:colOff>
      <xdr:row>11</xdr:row>
      <xdr:rowOff>51478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Categoria">
              <a:extLst>
                <a:ext uri="{FF2B5EF4-FFF2-40B4-BE49-F238E27FC236}">
                  <a16:creationId xmlns:a16="http://schemas.microsoft.com/office/drawing/2014/main" id="{23291F56-95E4-4063-A9B0-E4378DC9FC8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761163" y="601960"/>
              <a:ext cx="1823989" cy="14878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6</xdr:col>
      <xdr:colOff>600525</xdr:colOff>
      <xdr:row>18</xdr:row>
      <xdr:rowOff>11723</xdr:rowOff>
    </xdr:from>
    <xdr:to>
      <xdr:col>16</xdr:col>
      <xdr:colOff>0</xdr:colOff>
      <xdr:row>32</xdr:row>
      <xdr:rowOff>140677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6EFC02D6-F198-9C3F-78E6-1613367F2141}"/>
            </a:ext>
          </a:extLst>
        </xdr:cNvPr>
        <xdr:cNvSpPr txBox="1"/>
      </xdr:nvSpPr>
      <xdr:spPr>
        <a:xfrm>
          <a:off x="4791525" y="3375033"/>
          <a:ext cx="6730441" cy="2717127"/>
        </a:xfrm>
        <a:prstGeom prst="rect">
          <a:avLst/>
        </a:prstGeom>
        <a:solidFill>
          <a:schemeClr val="tx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600" b="1">
              <a:solidFill>
                <a:schemeClr val="bg1"/>
              </a:solidFill>
              <a:latin typeface="Aptos" panose="020B0004020202020204" pitchFamily="34" charset="0"/>
            </a:rPr>
            <a:t>Conclusão da Análise</a:t>
          </a:r>
        </a:p>
        <a:p>
          <a:pPr algn="ctr"/>
          <a:endParaRPr lang="pt-BR" sz="1600" b="1">
            <a:solidFill>
              <a:schemeClr val="bg1"/>
            </a:solidFill>
            <a:latin typeface="Aptos" panose="020B0004020202020204" pitchFamily="34" charset="0"/>
          </a:endParaRPr>
        </a:p>
        <a:p>
          <a:pPr algn="ctr"/>
          <a:r>
            <a:rPr lang="pt-BR" sz="1400" b="1">
              <a:solidFill>
                <a:schemeClr val="bg1"/>
              </a:solidFill>
              <a:latin typeface="Aptos" panose="020B0004020202020204" pitchFamily="34" charset="0"/>
            </a:rPr>
            <a:t>A categoria com maior faturamento foi Monitores, com R$ 3.600,00 em vendas.</a:t>
          </a:r>
        </a:p>
        <a:p>
          <a:pPr algn="ctr"/>
          <a:endParaRPr lang="pt-BR" sz="1400" b="1">
            <a:solidFill>
              <a:schemeClr val="bg1"/>
            </a:solidFill>
            <a:latin typeface="Aptos" panose="020B0004020202020204" pitchFamily="34" charset="0"/>
          </a:endParaRPr>
        </a:p>
        <a:p>
          <a:pPr algn="ctr"/>
          <a:r>
            <a:rPr lang="pt-BR" sz="1400" b="1">
              <a:solidFill>
                <a:schemeClr val="bg1"/>
              </a:solidFill>
              <a:latin typeface="Aptos" panose="020B0004020202020204" pitchFamily="34" charset="0"/>
            </a:rPr>
            <a:t>O vendedor com melhor desempenho foi Ana, com R$ 3.550,00 vendidos.</a:t>
          </a:r>
        </a:p>
        <a:p>
          <a:pPr algn="ctr"/>
          <a:endParaRPr lang="pt-BR" sz="1400" b="1">
            <a:solidFill>
              <a:schemeClr val="bg1"/>
            </a:solidFill>
            <a:latin typeface="Aptos" panose="020B0004020202020204" pitchFamily="34" charset="0"/>
          </a:endParaRPr>
        </a:p>
        <a:p>
          <a:pPr algn="ctr"/>
          <a:r>
            <a:rPr lang="pt-BR" sz="1400" b="1">
              <a:solidFill>
                <a:schemeClr val="bg1"/>
              </a:solidFill>
              <a:latin typeface="Aptos" panose="020B0004020202020204" pitchFamily="34" charset="0"/>
            </a:rPr>
            <a:t>A maior parte das vendas ficou entre Venda Baixa e Venda Média, indicando oportunidade para aumentar o ticket médio com produtos de maior valor.</a:t>
          </a:r>
        </a:p>
        <a:p>
          <a:pPr algn="ctr"/>
          <a:endParaRPr lang="pt-BR" sz="1400" b="1">
            <a:solidFill>
              <a:schemeClr val="bg1"/>
            </a:solidFill>
            <a:latin typeface="Aptos" panose="020B0004020202020204" pitchFamily="34" charset="0"/>
          </a:endParaRPr>
        </a:p>
        <a:p>
          <a:pPr algn="ctr"/>
          <a:r>
            <a:rPr lang="pt-BR" sz="1400" b="1">
              <a:solidFill>
                <a:schemeClr val="bg1"/>
              </a:solidFill>
              <a:latin typeface="Aptos" panose="020B0004020202020204" pitchFamily="34" charset="0"/>
            </a:rPr>
            <a:t>Foram incluídos filtros interativos por categoria e vendedor para facilitar a análise dos resultados.</a:t>
          </a:r>
          <a:endParaRPr lang="pt-BR" sz="1200" b="1">
            <a:solidFill>
              <a:schemeClr val="bg1"/>
            </a:solidFill>
            <a:latin typeface="+mn-lt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DERSON BARBOSA" refreshedDate="46160.873138541669" createdVersion="8" refreshedVersion="8" minRefreshableVersion="3" recordCount="15" xr:uid="{8BC8BCB6-702C-45A9-BB94-814E5ACCED96}">
  <cacheSource type="worksheet">
    <worksheetSource name="Tabela1"/>
  </cacheSource>
  <cacheFields count="8">
    <cacheField name="Data" numFmtId="14">
      <sharedItems containsSemiMixedTypes="0" containsNonDate="0" containsDate="1" containsString="0" minDate="2026-05-01T00:00:00" maxDate="2026-05-09T00:00:00"/>
    </cacheField>
    <cacheField name="Vendedor" numFmtId="0">
      <sharedItems count="3">
        <s v="Carlos"/>
        <s v="Ana"/>
        <s v="Bruno"/>
      </sharedItems>
    </cacheField>
    <cacheField name="Produto" numFmtId="0">
      <sharedItems/>
    </cacheField>
    <cacheField name="Categoria" numFmtId="0">
      <sharedItems count="4">
        <s v="Periféricos"/>
        <s v="Monitores"/>
        <s v="Vídeo"/>
        <s v="Áudio"/>
      </sharedItems>
    </cacheField>
    <cacheField name="Quantidade" numFmtId="0">
      <sharedItems containsSemiMixedTypes="0" containsString="0" containsNumber="1" containsInteger="1" minValue="1" maxValue="5"/>
    </cacheField>
    <cacheField name="Valor Unitário" numFmtId="44">
      <sharedItems containsSemiMixedTypes="0" containsString="0" containsNumber="1" containsInteger="1" minValue="120" maxValue="900"/>
    </cacheField>
    <cacheField name="Total Vendas" numFmtId="44">
      <sharedItems containsSemiMixedTypes="0" containsString="0" containsNumber="1" containsInteger="1" minValue="180" maxValue="1800"/>
    </cacheField>
    <cacheField name="Análise" numFmtId="0">
      <sharedItems count="3">
        <s v="Venda Baixa"/>
        <s v="Venda Média"/>
        <s v="Venda Alta"/>
      </sharedItems>
    </cacheField>
  </cacheFields>
  <extLst>
    <ext xmlns:x14="http://schemas.microsoft.com/office/spreadsheetml/2009/9/main" uri="{725AE2AE-9491-48be-B2B4-4EB974FC3084}">
      <x14:pivotCacheDefinition pivotCacheId="179754091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d v="2026-05-01T00:00:00"/>
    <x v="0"/>
    <s v="Mouse Gamer"/>
    <x v="0"/>
    <n v="2"/>
    <n v="120"/>
    <n v="240"/>
    <x v="0"/>
  </r>
  <r>
    <d v="2026-05-01T00:00:00"/>
    <x v="1"/>
    <s v="Monitor 24"/>
    <x v="1"/>
    <n v="1"/>
    <n v="900"/>
    <n v="900"/>
    <x v="1"/>
  </r>
  <r>
    <d v="2026-05-02T00:00:00"/>
    <x v="2"/>
    <s v="Teclado Mecânico"/>
    <x v="0"/>
    <n v="1"/>
    <n v="250"/>
    <n v="250"/>
    <x v="0"/>
  </r>
  <r>
    <d v="2026-05-02T00:00:00"/>
    <x v="0"/>
    <s v="Webcam HD"/>
    <x v="2"/>
    <n v="3"/>
    <n v="180"/>
    <n v="540"/>
    <x v="1"/>
  </r>
  <r>
    <d v="2026-05-03T00:00:00"/>
    <x v="1"/>
    <s v="Headset RGB"/>
    <x v="3"/>
    <n v="2"/>
    <n v="320"/>
    <n v="640"/>
    <x v="1"/>
  </r>
  <r>
    <d v="2026-05-03T00:00:00"/>
    <x v="2"/>
    <s v="Mouse Gamer"/>
    <x v="0"/>
    <n v="4"/>
    <n v="120"/>
    <n v="480"/>
    <x v="0"/>
  </r>
  <r>
    <d v="2026-05-04T00:00:00"/>
    <x v="0"/>
    <s v="Monitor 24"/>
    <x v="1"/>
    <n v="2"/>
    <n v="900"/>
    <n v="1800"/>
    <x v="2"/>
  </r>
  <r>
    <d v="2026-05-04T00:00:00"/>
    <x v="1"/>
    <s v="Teclado Mecânico"/>
    <x v="0"/>
    <n v="3"/>
    <n v="250"/>
    <n v="750"/>
    <x v="1"/>
  </r>
  <r>
    <d v="2026-05-05T00:00:00"/>
    <x v="2"/>
    <s v="Webcam HD"/>
    <x v="2"/>
    <n v="1"/>
    <n v="180"/>
    <n v="180"/>
    <x v="0"/>
  </r>
  <r>
    <d v="2026-05-05T00:00:00"/>
    <x v="0"/>
    <s v="Headset RGB"/>
    <x v="3"/>
    <n v="1"/>
    <n v="320"/>
    <n v="320"/>
    <x v="0"/>
  </r>
  <r>
    <d v="2026-05-06T00:00:00"/>
    <x v="1"/>
    <s v="Monitor 24"/>
    <x v="1"/>
    <n v="1"/>
    <n v="900"/>
    <n v="900"/>
    <x v="1"/>
  </r>
  <r>
    <d v="2026-05-06T00:00:00"/>
    <x v="2"/>
    <s v="Mouse Gamer"/>
    <x v="0"/>
    <n v="5"/>
    <n v="120"/>
    <n v="600"/>
    <x v="1"/>
  </r>
  <r>
    <d v="2026-05-07T00:00:00"/>
    <x v="0"/>
    <s v="Teclado Mecânico"/>
    <x v="0"/>
    <n v="2"/>
    <n v="250"/>
    <n v="500"/>
    <x v="0"/>
  </r>
  <r>
    <d v="2026-05-07T00:00:00"/>
    <x v="1"/>
    <s v="Webcam HD"/>
    <x v="2"/>
    <n v="2"/>
    <n v="180"/>
    <n v="360"/>
    <x v="0"/>
  </r>
  <r>
    <d v="2026-05-08T00:00:00"/>
    <x v="2"/>
    <s v="Headset RGB"/>
    <x v="3"/>
    <n v="3"/>
    <n v="320"/>
    <n v="96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023ED0-4CA2-467D-A720-20FE5B250D6A}" name="Tabela dinâmica12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D3:E7" firstHeaderRow="1" firstDataRow="1" firstDataCol="1"/>
  <pivotFields count="8">
    <pivotField numFmtId="14"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numFmtId="44" showAll="0"/>
    <pivotField dataField="1" numFmtId="44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endas" fld="6" baseField="0" baseItem="0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EBB8B-ED76-4BB5-9AC2-2331C3FF9102}" name="Tabela dinâmica1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8">
    <pivotField numFmtId="14" showAll="0"/>
    <pivotField showAll="0">
      <items count="4">
        <item x="1"/>
        <item x="2"/>
        <item x="0"/>
        <item t="default"/>
      </items>
    </pivotField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numFmtId="44" showAll="0"/>
    <pivotField dataField="1" numFmtId="44"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a de Total Vendas" fld="6" baseField="0" baseItem="0" numFmtId="44"/>
  </dataFields>
  <formats count="1">
    <format dxfId="13">
      <pivotArea outline="0" collapsedLevelsAreSubtotals="1" fieldPosition="0"/>
    </format>
  </format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305D54-052A-45A3-82A6-FE9FCDF5D997}" name="Tabela dinâmica1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G3:H7" firstHeaderRow="1" firstDataRow="1" firstDataCol="1"/>
  <pivotFields count="8">
    <pivotField numFmtId="14" showAll="0"/>
    <pivotField showAll="0"/>
    <pivotField showAll="0"/>
    <pivotField showAll="0"/>
    <pivotField showAll="0"/>
    <pivotField numFmtId="44" showAll="0"/>
    <pivotField numFmtId="44" showAll="0"/>
    <pivotField axis="axisRow" dataField="1" showAll="0">
      <items count="4">
        <item x="2"/>
        <item x="0"/>
        <item x="1"/>
        <item t="default"/>
      </items>
    </pivotField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Análise" fld="7" subtotal="count" baseField="0" baseItem="0"/>
  </dataFields>
  <chartFormats count="4"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7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7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7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3D67F48D-D64D-4E15-9F8E-D77F40F6B2E2}" sourceName="Vendedor">
  <pivotTables>
    <pivotTable tabId="8" name="Tabela dinâmica11"/>
  </pivotTables>
  <data>
    <tabular pivotCacheId="1797540919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ia" xr10:uid="{02F37BB8-0B8B-403B-96DA-704C96EA3CFE}" sourceName="Categoria">
  <pivotTables>
    <pivotTable tabId="8" name="Tabela dinâmica11"/>
  </pivotTables>
  <data>
    <tabular pivotCacheId="1797540919">
      <items count="4">
        <i x="3" s="1"/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C19F549E-6755-4DEB-956B-E46685F24649}" cache="SegmentaçãodeDados_Vendedor" caption="Vendedor" rowHeight="247650"/>
  <slicer name="Categoria" xr10:uid="{E56D0838-0990-4758-BF56-AE0276BFE49F}" cache="SegmentaçãodeDados_Categoria" caption="Categoria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48CD46-B470-47EB-8B58-1495184B872B}" name="Tabela1" displayName="Tabela1" ref="A1:H16" totalsRowShown="0" headerRowDxfId="12" dataDxfId="11">
  <autoFilter ref="A1:H16" xr:uid="{D548CD46-B470-47EB-8B58-1495184B872B}"/>
  <tableColumns count="8">
    <tableColumn id="1" xr3:uid="{29F0CD5A-510A-4C37-9695-1AFAECC2CA1D}" name="Data" dataDxfId="10"/>
    <tableColumn id="2" xr3:uid="{797FCCFB-57A2-4E4B-9FF0-8B76DF32A263}" name="Vendedor" dataDxfId="9"/>
    <tableColumn id="3" xr3:uid="{53C8535B-237A-44E5-9FCC-64392B850D48}" name="Produto" dataDxfId="8"/>
    <tableColumn id="4" xr3:uid="{058C6584-AA2D-4239-8353-784C816EEB90}" name="Categoria" dataDxfId="7"/>
    <tableColumn id="5" xr3:uid="{09C42513-D4BA-405E-9CFF-76CBD01C6667}" name="Quantidade" dataDxfId="6"/>
    <tableColumn id="6" xr3:uid="{3806CD44-3398-49DD-94F0-7140279DA83C}" name="Valor Unitário" dataDxfId="5" dataCellStyle="Moeda"/>
    <tableColumn id="7" xr3:uid="{00227B02-82CE-492E-8576-03B2F0594188}" name="Total Vendas" dataDxfId="4" dataCellStyle="Moeda">
      <calculatedColumnFormula>Tabela1[[#This Row],[Quantidade]]*Tabela1[[#This Row],[Valor Unitário]]</calculatedColumnFormula>
    </tableColumn>
    <tableColumn id="8" xr3:uid="{5E111F29-B6D3-4AFD-962B-A504C9E9FBB3}" name="Análise" dataDxfId="3">
      <calculatedColumnFormula>IF(Tabela1[[#This Row],[Total Vendas]]&gt;1000,"Venda Alta",IF(Tabela1[[#This Row],[Total Vendas]]&gt;500,"Venda Média","Venda Baixa"))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13EC-0507-4AAB-B7C4-6863F875BE5C}">
  <dimension ref="A3:H8"/>
  <sheetViews>
    <sheetView zoomScale="68" workbookViewId="0">
      <selection activeCell="A5" sqref="A5:B5"/>
      <pivotSelection pane="bottomRight" showHeader="1" extendable="1" start="1" max="5" activeRow="4" click="1" r:id="rId2">
        <pivotArea dataOnly="0" fieldPosition="0">
          <references count="1">
            <reference field="3" count="1">
              <x v="1"/>
            </reference>
          </references>
        </pivotArea>
      </pivotSelection>
    </sheetView>
  </sheetViews>
  <sheetFormatPr defaultRowHeight="14.4" x14ac:dyDescent="0.3"/>
  <cols>
    <col min="1" max="1" width="19.109375" bestFit="1" customWidth="1"/>
    <col min="2" max="2" width="20.5546875" bestFit="1" customWidth="1"/>
    <col min="4" max="4" width="16.77734375" bestFit="1" customWidth="1"/>
    <col min="5" max="5" width="19.33203125" bestFit="1" customWidth="1"/>
    <col min="7" max="7" width="16.77734375" bestFit="1" customWidth="1"/>
    <col min="8" max="8" width="18.5546875" bestFit="1" customWidth="1"/>
  </cols>
  <sheetData>
    <row r="3" spans="1:8" x14ac:dyDescent="0.3">
      <c r="A3" s="11" t="s">
        <v>24</v>
      </c>
      <c r="B3" t="s">
        <v>31</v>
      </c>
      <c r="D3" s="11" t="s">
        <v>24</v>
      </c>
      <c r="E3" t="s">
        <v>31</v>
      </c>
      <c r="G3" s="11" t="s">
        <v>24</v>
      </c>
      <c r="H3" t="s">
        <v>36</v>
      </c>
    </row>
    <row r="4" spans="1:8" x14ac:dyDescent="0.3">
      <c r="A4" s="12" t="s">
        <v>17</v>
      </c>
      <c r="B4" s="13">
        <v>1920</v>
      </c>
      <c r="D4" s="12" t="s">
        <v>9</v>
      </c>
      <c r="E4" s="14">
        <v>3550</v>
      </c>
      <c r="G4" s="12" t="s">
        <v>32</v>
      </c>
      <c r="H4" s="14">
        <v>1</v>
      </c>
    </row>
    <row r="5" spans="1:8" x14ac:dyDescent="0.3">
      <c r="A5" s="12" t="s">
        <v>11</v>
      </c>
      <c r="B5" s="13">
        <v>3600</v>
      </c>
      <c r="D5" s="12" t="s">
        <v>12</v>
      </c>
      <c r="E5" s="14">
        <v>2470</v>
      </c>
      <c r="G5" s="12" t="s">
        <v>33</v>
      </c>
      <c r="H5" s="14">
        <v>7</v>
      </c>
    </row>
    <row r="6" spans="1:8" x14ac:dyDescent="0.3">
      <c r="A6" s="12" t="s">
        <v>8</v>
      </c>
      <c r="B6" s="13">
        <v>2820</v>
      </c>
      <c r="D6" s="12" t="s">
        <v>6</v>
      </c>
      <c r="E6" s="14">
        <v>3400</v>
      </c>
      <c r="G6" s="12" t="s">
        <v>34</v>
      </c>
      <c r="H6" s="14">
        <v>7</v>
      </c>
    </row>
    <row r="7" spans="1:8" x14ac:dyDescent="0.3">
      <c r="A7" s="12" t="s">
        <v>15</v>
      </c>
      <c r="B7" s="13">
        <v>1080</v>
      </c>
      <c r="D7" s="12" t="s">
        <v>25</v>
      </c>
      <c r="E7" s="14">
        <v>9420</v>
      </c>
      <c r="G7" s="12" t="s">
        <v>25</v>
      </c>
      <c r="H7" s="14">
        <v>15</v>
      </c>
    </row>
    <row r="8" spans="1:8" x14ac:dyDescent="0.3">
      <c r="A8" s="12" t="s">
        <v>25</v>
      </c>
      <c r="B8" s="13">
        <v>9420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21832-1D74-49B9-96B5-76487814D0B4}">
  <dimension ref="A1:J16"/>
  <sheetViews>
    <sheetView zoomScale="115" zoomScaleNormal="115" workbookViewId="0">
      <selection activeCell="I1" sqref="I1"/>
    </sheetView>
  </sheetViews>
  <sheetFormatPr defaultRowHeight="14.4" x14ac:dyDescent="0.3"/>
  <cols>
    <col min="1" max="1" width="10.77734375" bestFit="1" customWidth="1"/>
    <col min="2" max="2" width="13.44140625" bestFit="1" customWidth="1"/>
    <col min="3" max="3" width="15.6640625" bestFit="1" customWidth="1"/>
    <col min="4" max="4" width="13.44140625" bestFit="1" customWidth="1"/>
    <col min="5" max="5" width="15.21875" bestFit="1" customWidth="1"/>
    <col min="6" max="6" width="16.77734375" bestFit="1" customWidth="1"/>
    <col min="7" max="7" width="13.21875" customWidth="1"/>
    <col min="8" max="8" width="11.5546875" bestFit="1" customWidth="1"/>
    <col min="10" max="10" width="12" bestFit="1" customWidth="1"/>
  </cols>
  <sheetData>
    <row r="1" spans="1:10" ht="13.2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18</v>
      </c>
      <c r="H1" s="3" t="s">
        <v>19</v>
      </c>
      <c r="I1" t="s">
        <v>35</v>
      </c>
    </row>
    <row r="2" spans="1:10" x14ac:dyDescent="0.3">
      <c r="A2" s="4">
        <v>46143</v>
      </c>
      <c r="B2" s="5" t="s">
        <v>6</v>
      </c>
      <c r="C2" s="5" t="s">
        <v>7</v>
      </c>
      <c r="D2" s="5" t="s">
        <v>8</v>
      </c>
      <c r="E2" s="5">
        <v>2</v>
      </c>
      <c r="F2" s="8">
        <v>120</v>
      </c>
      <c r="G2" s="9">
        <f>Tabela1[[#This Row],[Quantidade]]*Tabela1[[#This Row],[Valor Unitário]]</f>
        <v>240</v>
      </c>
      <c r="H2" s="6" t="str">
        <f>IF(Tabela1[[#This Row],[Total Vendas]]&gt;1000,"Venda Alta",IF(Tabela1[[#This Row],[Total Vendas]]&gt;500,"Venda Média","Venda Baixa"))</f>
        <v>Venda Baixa</v>
      </c>
    </row>
    <row r="3" spans="1:10" x14ac:dyDescent="0.3">
      <c r="A3" s="4">
        <v>46143</v>
      </c>
      <c r="B3" s="5" t="s">
        <v>9</v>
      </c>
      <c r="C3" s="5" t="s">
        <v>10</v>
      </c>
      <c r="D3" s="5" t="s">
        <v>11</v>
      </c>
      <c r="E3" s="5">
        <v>1</v>
      </c>
      <c r="F3" s="8">
        <v>900</v>
      </c>
      <c r="G3" s="8">
        <f>Tabela1[[#This Row],[Quantidade]]*Tabela1[[#This Row],[Valor Unitário]]</f>
        <v>900</v>
      </c>
      <c r="H3" s="5" t="str">
        <f>IF(Tabela1[[#This Row],[Total Vendas]]&gt;1000,"Venda Alta",IF(Tabela1[[#This Row],[Total Vendas]]&gt;500,"Venda Média","Venda Baixa"))</f>
        <v>Venda Média</v>
      </c>
    </row>
    <row r="4" spans="1:10" ht="13.8" customHeight="1" x14ac:dyDescent="0.3">
      <c r="A4" s="4">
        <v>46144</v>
      </c>
      <c r="B4" s="5" t="s">
        <v>12</v>
      </c>
      <c r="C4" s="5" t="s">
        <v>13</v>
      </c>
      <c r="D4" s="5" t="s">
        <v>8</v>
      </c>
      <c r="E4" s="5">
        <v>1</v>
      </c>
      <c r="F4" s="8">
        <v>250</v>
      </c>
      <c r="G4" s="8">
        <f>Tabela1[[#This Row],[Quantidade]]*Tabela1[[#This Row],[Valor Unitário]]</f>
        <v>250</v>
      </c>
      <c r="H4" s="5" t="str">
        <f>IF(Tabela1[[#This Row],[Total Vendas]]&gt;1000,"Venda Alta",IF(Tabela1[[#This Row],[Total Vendas]]&gt;500,"Venda Média","Venda Baixa"))</f>
        <v>Venda Baixa</v>
      </c>
      <c r="J4" t="s">
        <v>26</v>
      </c>
    </row>
    <row r="5" spans="1:10" x14ac:dyDescent="0.3">
      <c r="A5" s="4">
        <v>46144</v>
      </c>
      <c r="B5" s="5" t="s">
        <v>6</v>
      </c>
      <c r="C5" s="5" t="s">
        <v>14</v>
      </c>
      <c r="D5" s="5" t="s">
        <v>15</v>
      </c>
      <c r="E5" s="5">
        <v>3</v>
      </c>
      <c r="F5" s="8">
        <v>180</v>
      </c>
      <c r="G5" s="8">
        <f>Tabela1[[#This Row],[Quantidade]]*Tabela1[[#This Row],[Valor Unitário]]</f>
        <v>540</v>
      </c>
      <c r="H5" s="5" t="str">
        <f>IF(Tabela1[[#This Row],[Total Vendas]]&gt;1000,"Venda Alta",IF(Tabela1[[#This Row],[Total Vendas]]&gt;500,"Venda Média","Venda Baixa"))</f>
        <v>Venda Média</v>
      </c>
      <c r="J5" s="13">
        <f>SUM(Tabela1[Total Vendas])</f>
        <v>9420</v>
      </c>
    </row>
    <row r="6" spans="1:10" x14ac:dyDescent="0.3">
      <c r="A6" s="4">
        <v>46145</v>
      </c>
      <c r="B6" s="5" t="s">
        <v>9</v>
      </c>
      <c r="C6" s="5" t="s">
        <v>16</v>
      </c>
      <c r="D6" s="5" t="s">
        <v>17</v>
      </c>
      <c r="E6" s="5">
        <v>2</v>
      </c>
      <c r="F6" s="8">
        <v>320</v>
      </c>
      <c r="G6" s="8">
        <f>Tabela1[[#This Row],[Quantidade]]*Tabela1[[#This Row],[Valor Unitário]]</f>
        <v>640</v>
      </c>
      <c r="H6" s="5" t="str">
        <f>IF(Tabela1[[#This Row],[Total Vendas]]&gt;1000,"Venda Alta",IF(Tabela1[[#This Row],[Total Vendas]]&gt;500,"Venda Média","Venda Baixa"))</f>
        <v>Venda Média</v>
      </c>
      <c r="J6" t="s">
        <v>27</v>
      </c>
    </row>
    <row r="7" spans="1:10" x14ac:dyDescent="0.3">
      <c r="A7" s="4">
        <v>46145</v>
      </c>
      <c r="B7" s="5" t="s">
        <v>12</v>
      </c>
      <c r="C7" s="5" t="s">
        <v>7</v>
      </c>
      <c r="D7" s="5" t="s">
        <v>8</v>
      </c>
      <c r="E7" s="5">
        <v>4</v>
      </c>
      <c r="F7" s="8">
        <v>120</v>
      </c>
      <c r="G7" s="8">
        <f>Tabela1[[#This Row],[Quantidade]]*Tabela1[[#This Row],[Valor Unitário]]</f>
        <v>480</v>
      </c>
      <c r="H7" s="5" t="str">
        <f>IF(Tabela1[[#This Row],[Total Vendas]]&gt;1000,"Venda Alta",IF(Tabela1[[#This Row],[Total Vendas]]&gt;500,"Venda Média","Venda Baixa"))</f>
        <v>Venda Baixa</v>
      </c>
      <c r="J7">
        <f>MAX(Tabela1[Total Vendas])</f>
        <v>1800</v>
      </c>
    </row>
    <row r="8" spans="1:10" x14ac:dyDescent="0.3">
      <c r="A8" s="4">
        <v>46146</v>
      </c>
      <c r="B8" s="5" t="s">
        <v>6</v>
      </c>
      <c r="C8" s="5" t="s">
        <v>10</v>
      </c>
      <c r="D8" s="5" t="s">
        <v>11</v>
      </c>
      <c r="E8" s="5">
        <v>2</v>
      </c>
      <c r="F8" s="8">
        <v>900</v>
      </c>
      <c r="G8" s="8">
        <f>Tabela1[[#This Row],[Quantidade]]*Tabela1[[#This Row],[Valor Unitário]]</f>
        <v>1800</v>
      </c>
      <c r="H8" s="5" t="str">
        <f>IF(Tabela1[[#This Row],[Total Vendas]]&gt;1000,"Venda Alta",IF(Tabela1[[#This Row],[Total Vendas]]&gt;500,"Venda Média","Venda Baixa"))</f>
        <v>Venda Alta</v>
      </c>
      <c r="J8" t="s">
        <v>28</v>
      </c>
    </row>
    <row r="9" spans="1:10" ht="13.2" customHeight="1" x14ac:dyDescent="0.3">
      <c r="A9" s="4">
        <v>46146</v>
      </c>
      <c r="B9" s="5" t="s">
        <v>9</v>
      </c>
      <c r="C9" s="5" t="s">
        <v>13</v>
      </c>
      <c r="D9" s="5" t="s">
        <v>8</v>
      </c>
      <c r="E9" s="5">
        <v>3</v>
      </c>
      <c r="F9" s="8">
        <v>250</v>
      </c>
      <c r="G9" s="8">
        <f>Tabela1[[#This Row],[Quantidade]]*Tabela1[[#This Row],[Valor Unitário]]</f>
        <v>750</v>
      </c>
      <c r="H9" s="5" t="str">
        <f>IF(Tabela1[[#This Row],[Total Vendas]]&gt;1000,"Venda Alta",IF(Tabela1[[#This Row],[Total Vendas]]&gt;500,"Venda Média","Venda Baixa"))</f>
        <v>Venda Média</v>
      </c>
      <c r="J9">
        <f>AVERAGE(Tabela1[Total Vendas])</f>
        <v>628</v>
      </c>
    </row>
    <row r="10" spans="1:10" x14ac:dyDescent="0.3">
      <c r="A10" s="4">
        <v>46147</v>
      </c>
      <c r="B10" s="5" t="s">
        <v>12</v>
      </c>
      <c r="C10" s="5" t="s">
        <v>14</v>
      </c>
      <c r="D10" s="5" t="s">
        <v>15</v>
      </c>
      <c r="E10" s="5">
        <v>1</v>
      </c>
      <c r="F10" s="8">
        <v>180</v>
      </c>
      <c r="G10" s="8">
        <f>Tabela1[[#This Row],[Quantidade]]*Tabela1[[#This Row],[Valor Unitário]]</f>
        <v>180</v>
      </c>
      <c r="H10" s="5" t="str">
        <f>IF(Tabela1[[#This Row],[Total Vendas]]&gt;1000,"Venda Alta",IF(Tabela1[[#This Row],[Total Vendas]]&gt;500,"Venda Média","Venda Baixa"))</f>
        <v>Venda Baixa</v>
      </c>
      <c r="J10" t="s">
        <v>29</v>
      </c>
    </row>
    <row r="11" spans="1:10" x14ac:dyDescent="0.3">
      <c r="A11" s="4">
        <v>46147</v>
      </c>
      <c r="B11" s="5" t="s">
        <v>6</v>
      </c>
      <c r="C11" s="5" t="s">
        <v>16</v>
      </c>
      <c r="D11" s="5" t="s">
        <v>17</v>
      </c>
      <c r="E11" s="5">
        <v>1</v>
      </c>
      <c r="F11" s="8">
        <v>320</v>
      </c>
      <c r="G11" s="8">
        <f>Tabela1[[#This Row],[Quantidade]]*Tabela1[[#This Row],[Valor Unitário]]</f>
        <v>320</v>
      </c>
      <c r="H11" s="5" t="str">
        <f>IF(Tabela1[[#This Row],[Total Vendas]]&gt;1000,"Venda Alta",IF(Tabela1[[#This Row],[Total Vendas]]&gt;500,"Venda Média","Venda Baixa"))</f>
        <v>Venda Baixa</v>
      </c>
      <c r="J11">
        <f>COUNTA(A:A)-1</f>
        <v>15</v>
      </c>
    </row>
    <row r="12" spans="1:10" x14ac:dyDescent="0.3">
      <c r="A12" s="4">
        <v>46148</v>
      </c>
      <c r="B12" s="5" t="s">
        <v>9</v>
      </c>
      <c r="C12" s="5" t="s">
        <v>10</v>
      </c>
      <c r="D12" s="5" t="s">
        <v>11</v>
      </c>
      <c r="E12" s="5">
        <v>1</v>
      </c>
      <c r="F12" s="8">
        <v>900</v>
      </c>
      <c r="G12" s="8">
        <f>Tabela1[[#This Row],[Quantidade]]*Tabela1[[#This Row],[Valor Unitário]]</f>
        <v>900</v>
      </c>
      <c r="H12" s="5" t="str">
        <f>IF(Tabela1[[#This Row],[Total Vendas]]&gt;1000,"Venda Alta",IF(Tabela1[[#This Row],[Total Vendas]]&gt;500,"Venda Média","Venda Baixa"))</f>
        <v>Venda Média</v>
      </c>
      <c r="J12" t="s">
        <v>30</v>
      </c>
    </row>
    <row r="13" spans="1:10" x14ac:dyDescent="0.3">
      <c r="A13" s="4">
        <v>46148</v>
      </c>
      <c r="B13" s="5" t="s">
        <v>12</v>
      </c>
      <c r="C13" s="5" t="s">
        <v>7</v>
      </c>
      <c r="D13" s="5" t="s">
        <v>8</v>
      </c>
      <c r="E13" s="5">
        <v>5</v>
      </c>
      <c r="F13" s="8">
        <v>120</v>
      </c>
      <c r="G13" s="8">
        <f>Tabela1[[#This Row],[Quantidade]]*Tabela1[[#This Row],[Valor Unitário]]</f>
        <v>600</v>
      </c>
      <c r="H13" s="5" t="str">
        <f>IF(Tabela1[[#This Row],[Total Vendas]]&gt;1000,"Venda Alta",IF(Tabela1[[#This Row],[Total Vendas]]&gt;500,"Venda Média","Venda Baixa"))</f>
        <v>Venda Média</v>
      </c>
      <c r="J13">
        <f>SUM(Tabela1[Quantidade])</f>
        <v>33</v>
      </c>
    </row>
    <row r="14" spans="1:10" ht="15" customHeight="1" x14ac:dyDescent="0.3">
      <c r="A14" s="4">
        <v>46149</v>
      </c>
      <c r="B14" s="5" t="s">
        <v>6</v>
      </c>
      <c r="C14" s="5" t="s">
        <v>13</v>
      </c>
      <c r="D14" s="5" t="s">
        <v>8</v>
      </c>
      <c r="E14" s="5">
        <v>2</v>
      </c>
      <c r="F14" s="8">
        <v>250</v>
      </c>
      <c r="G14" s="8">
        <f>Tabela1[[#This Row],[Quantidade]]*Tabela1[[#This Row],[Valor Unitário]]</f>
        <v>500</v>
      </c>
      <c r="H14" s="5" t="str">
        <f>IF(Tabela1[[#This Row],[Total Vendas]]&gt;1000,"Venda Alta",IF(Tabela1[[#This Row],[Total Vendas]]&gt;500,"Venda Média","Venda Baixa"))</f>
        <v>Venda Baixa</v>
      </c>
    </row>
    <row r="15" spans="1:10" x14ac:dyDescent="0.3">
      <c r="A15" s="4">
        <v>46149</v>
      </c>
      <c r="B15" s="5" t="s">
        <v>9</v>
      </c>
      <c r="C15" s="5" t="s">
        <v>14</v>
      </c>
      <c r="D15" s="5" t="s">
        <v>15</v>
      </c>
      <c r="E15" s="5">
        <v>2</v>
      </c>
      <c r="F15" s="8">
        <v>180</v>
      </c>
      <c r="G15" s="8">
        <f>Tabela1[[#This Row],[Quantidade]]*Tabela1[[#This Row],[Valor Unitário]]</f>
        <v>360</v>
      </c>
      <c r="H15" s="5" t="str">
        <f>IF(Tabela1[[#This Row],[Total Vendas]]&gt;1000,"Venda Alta",IF(Tabela1[[#This Row],[Total Vendas]]&gt;500,"Venda Média","Venda Baixa"))</f>
        <v>Venda Baixa</v>
      </c>
    </row>
    <row r="16" spans="1:10" x14ac:dyDescent="0.3">
      <c r="A16" s="4">
        <v>46150</v>
      </c>
      <c r="B16" s="5" t="s">
        <v>12</v>
      </c>
      <c r="C16" s="5" t="s">
        <v>16</v>
      </c>
      <c r="D16" s="5" t="s">
        <v>17</v>
      </c>
      <c r="E16" s="5">
        <v>3</v>
      </c>
      <c r="F16" s="8">
        <v>320</v>
      </c>
      <c r="G16" s="10">
        <f>Tabela1[[#This Row],[Quantidade]]*Tabela1[[#This Row],[Valor Unitário]]</f>
        <v>960</v>
      </c>
      <c r="H16" s="7" t="str">
        <f>IF(Tabela1[[#This Row],[Total Vendas]]&gt;1000,"Venda Alta",IF(Tabela1[[#This Row],[Total Vendas]]&gt;500,"Venda Média","Venda Baixa"))</f>
        <v>Venda Média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D6DE9976-AC71-4B6E-9F05-D5E9739729DB}">
            <xm:f>NOT(ISERROR(SEARCH($H$8,H2)))</xm:f>
            <xm:f>$H$8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ontainsText" priority="2" operator="containsText" id="{A7EE6350-60DE-4BF4-A4E9-AD93339E9A4A}">
            <xm:f>NOT(ISERROR(SEARCH($H$3,H2)))</xm:f>
            <xm:f>$H$3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3" operator="containsText" id="{D4FFD33C-9B7D-4BAC-9491-F25F453295A3}">
            <xm:f>NOT(ISERROR(SEARCH($H$2,H2)))</xm:f>
            <xm:f>$H$2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H2:H16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B8571-90CF-4DD4-B0AD-9C4918B15D1E}">
  <sheetPr>
    <pageSetUpPr autoPageBreaks="0"/>
  </sheetPr>
  <dimension ref="A1:N29"/>
  <sheetViews>
    <sheetView tabSelected="1" zoomScale="80" zoomScaleNormal="80" workbookViewId="0">
      <selection activeCell="W6" sqref="W6"/>
    </sheetView>
  </sheetViews>
  <sheetFormatPr defaultRowHeight="14.4" x14ac:dyDescent="0.3"/>
  <cols>
    <col min="1" max="1" width="12.21875" bestFit="1" customWidth="1"/>
    <col min="4" max="4" width="11.77734375" customWidth="1"/>
    <col min="5" max="5" width="10.6640625" bestFit="1" customWidth="1"/>
    <col min="9" max="9" width="17.33203125" bestFit="1" customWidth="1"/>
    <col min="10" max="10" width="2.21875" customWidth="1"/>
    <col min="11" max="11" width="17.33203125" bestFit="1" customWidth="1"/>
    <col min="16" max="16" width="17.33203125" bestFit="1" customWidth="1"/>
  </cols>
  <sheetData>
    <row r="1" spans="1:14" ht="16.2" x14ac:dyDescent="0.4">
      <c r="A1" s="26" t="s">
        <v>20</v>
      </c>
      <c r="B1" s="27"/>
      <c r="C1" s="28" t="s">
        <v>21</v>
      </c>
      <c r="D1" s="29"/>
      <c r="E1" s="28" t="s">
        <v>22</v>
      </c>
      <c r="F1" s="29"/>
      <c r="G1" s="28" t="s">
        <v>37</v>
      </c>
      <c r="H1" s="29"/>
      <c r="I1" s="20" t="s">
        <v>23</v>
      </c>
      <c r="J1" s="21"/>
    </row>
    <row r="2" spans="1:14" ht="14.4" customHeight="1" x14ac:dyDescent="0.3">
      <c r="A2" s="22">
        <f>SUM(Tabela1[Total Vendas])</f>
        <v>9420</v>
      </c>
      <c r="B2" s="23"/>
      <c r="C2" s="22">
        <f>MAX(Tabela1[Total Vendas])</f>
        <v>1800</v>
      </c>
      <c r="D2" s="23"/>
      <c r="E2" s="22">
        <f>AVERAGE(Tabela1[Total Vendas])</f>
        <v>628</v>
      </c>
      <c r="F2" s="23"/>
      <c r="G2" s="16">
        <f>COUNTA('Base de Vendas'!A:A)-1</f>
        <v>15</v>
      </c>
      <c r="H2" s="17"/>
      <c r="I2" s="16">
        <f>SUM(Tabela1[Quantidade])</f>
        <v>33</v>
      </c>
      <c r="J2" s="17"/>
    </row>
    <row r="3" spans="1:14" ht="15" customHeight="1" thickBot="1" x14ac:dyDescent="0.35">
      <c r="A3" s="24"/>
      <c r="B3" s="25"/>
      <c r="C3" s="24"/>
      <c r="D3" s="25"/>
      <c r="E3" s="24"/>
      <c r="F3" s="25"/>
      <c r="G3" s="18"/>
      <c r="H3" s="19"/>
      <c r="I3" s="18"/>
      <c r="J3" s="19"/>
    </row>
    <row r="6" spans="1:14" ht="15" customHeight="1" x14ac:dyDescent="0.3"/>
    <row r="15" spans="1:14" x14ac:dyDescent="0.3">
      <c r="N15" s="1"/>
    </row>
    <row r="16" spans="1:14" x14ac:dyDescent="0.3">
      <c r="N16" s="2"/>
    </row>
    <row r="17" spans="8:14" x14ac:dyDescent="0.3">
      <c r="N17" s="2"/>
    </row>
    <row r="18" spans="8:14" x14ac:dyDescent="0.3">
      <c r="N18" s="2"/>
    </row>
    <row r="19" spans="8:14" x14ac:dyDescent="0.3">
      <c r="N19" s="2"/>
    </row>
    <row r="20" spans="8:14" x14ac:dyDescent="0.3">
      <c r="N20" s="2"/>
    </row>
    <row r="29" spans="8:14" ht="15.6" x14ac:dyDescent="0.3">
      <c r="H29" s="15"/>
    </row>
  </sheetData>
  <mergeCells count="10">
    <mergeCell ref="I2:J3"/>
    <mergeCell ref="I1:J1"/>
    <mergeCell ref="C2:D3"/>
    <mergeCell ref="A2:B3"/>
    <mergeCell ref="A1:B1"/>
    <mergeCell ref="C1:D1"/>
    <mergeCell ref="E1:F1"/>
    <mergeCell ref="G1:H1"/>
    <mergeCell ref="G2:H3"/>
    <mergeCell ref="E2:F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Planilha8</vt:lpstr>
      <vt:lpstr>Base de Vendas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BARBOSA</dc:creator>
  <cp:lastModifiedBy>ANDERSON BARBOSA</cp:lastModifiedBy>
  <dcterms:created xsi:type="dcterms:W3CDTF">2026-05-19T00:05:18Z</dcterms:created>
  <dcterms:modified xsi:type="dcterms:W3CDTF">2026-05-19T23:34:01Z</dcterms:modified>
</cp:coreProperties>
</file>